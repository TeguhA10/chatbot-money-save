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  <sheet name="Sep 2026" sheetId="2" r:id="rId5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<sst xmlns="http://schemas.openxmlformats.org/spreadsheetml/2006/main" uniqueCount="35">
  <si>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RINGKASAN LAPORAN KEUANGAN PRIBADI</t>
  </si>
  <si>
    <t>Tahun</t>
  </si>
  <si>
    <t>Pemilik</t>
  </si>
  <si>
    <t>221315520819370@lid</t>
  </si>
  <si>
    <t>Dicetak Pada</t>
  </si>
  <si>
    <t>9 September 2026, 03:33</t>
  </si>
  <si>
    <t>RINGKASAN EKSEKUTIF (KPI)</t>
  </si>
  <si>
    <t>Indikator</t>
  </si>
  <si>
    <t>Nominal (Rp)</t>
  </si>
  <si>
    <t>Keterangan</t>
  </si>
  <si>
    <t>Total Pemasukan</t>
  </si>
  <si>
    <t>Akumulasi tahun 2026</t>
  </si>
  <si>
    <t>Total Pengeluaran</t>
  </si>
  <si>
    <t>Arus Kas Bersih (Net Cashflow)</t>
  </si>
  <si>
    <t>Pemasukan dikurangi Pengeluaran</t>
  </si>
  <si>
    <t>Saldo Rekening Saat Ini</t>
  </si>
  <si>
    <t>Posisi saldo real-time</t>
  </si>
  <si>
    <t>DISTRIBUSI PENGELUARAN PER KATEGORI</t>
  </si>
  <si>
    <t>Kategori</t>
  </si>
  <si>
    <t>Total Pengeluaran (Rp)</t>
  </si>
  <si>
    <t>Persentase</t>
  </si>
  <si>
    <t>🛵 Transportasi</t>
  </si>
  <si>
    <t>🍜 Makanan &amp; Minuman</t>
  </si>
  <si>
    <t>TOTAL PENGELUARAN</t>
  </si>
  <si>
    <t>No</t>
  </si>
  <si>
    <t>Tanggal &amp; Waktu</t>
  </si>
  <si>
    <t>Tipe</t>
  </si>
  <si>
    <t>Saldo Sesudah (Rp)</t>
  </si>
  <si>
    <t>2026-09-09 03:32</t>
  </si>
  <si>
    <t>Pemasukan</t>
  </si>
  <si>
    <t>Lainnya</t>
  </si>
  <si>
    <t>Pengeluaran</t>
  </si>
  <si>
    <t>makan siang</t>
  </si>
  <si>
    <t>2026-09-09 03:33</t>
  </si>
  <si>
    <t>bensin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</si>
</sst>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8A"/>
      <name val="Calibri"/>
    </font>
    <font>
      <b val="1"/>
      <i val="0"/>
      <strike val="0"/>
      <u val="none"/>
      <sz val="11"/>
      <color rgb="FF1E293B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0D9488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3" fillId="2" borderId="0" applyFont="0" applyNumberFormat="1" applyFill="1" applyBorder="0" applyAlignment="0"/>
    <xf xfId="0" fontId="0" numFmtId="164" fillId="2" borderId="0" applyFont="0" applyNumberFormat="1" applyFill="1" applyBorder="0" applyAlignment="0"/>
    <xf xfId="0" fontId="3" numFmtId="0" fillId="3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3" numFmtId="3" fillId="3" borderId="1" applyFont="1" applyNumberFormat="1" applyFill="1" applyBorder="1" applyAlignment="1">
      <alignment horizontal="left" vertical="bottom" textRotation="0" wrapText="false" shrinkToFit="false"/>
    </xf>
    <xf xfId="0" fontId="0" numFmtId="3" fillId="0" borderId="1" applyFont="0" applyNumberFormat="1" applyFill="0" applyBorder="1" applyAlignment="0"/>
    <xf xfId="0" fontId="3" numFmtId="164" fillId="3" borderId="1" applyFont="1" applyNumberFormat="1" applyFill="1" applyBorder="1" applyAlignment="1">
      <alignment horizontal="left" vertical="bottom" textRotation="0" wrapText="false" shrinkToFit="false"/>
    </xf>
    <xf xfId="0" fontId="0" numFmtId="164" fillId="0" borderId="1" applyFont="0" applyNumberFormat="1" applyFill="0" applyBorder="1" applyAlignment="0"/>
    <xf xfId="0" fontId="4" numFmtId="0" fillId="0" borderId="1" applyFont="1" applyNumberFormat="0" applyFill="0" applyBorder="1" applyAlignment="0"/>
    <xf xfId="0" fontId="4" numFmtId="3" fillId="0" borderId="1" applyFont="1" applyNumberFormat="1" applyFill="0" applyBorder="1" applyAlignment="0"/>
    <xf xfId="0" fontId="4" numFmtId="164" fillId="0" borderId="1" applyFont="1" applyNumberFormat="1" applyFill="0" applyBorder="1" applyAlignment="0"/>
    <xf xfId="0" fontId="3" numFmtId="0" fillId="4" borderId="1" applyFont="1" applyNumberFormat="0" applyFill="1" applyBorder="1" applyAlignment="1">
      <alignment horizontal="left" vertical="bottom" textRotation="0" wrapText="false" shrinkToFit="false"/>
    </xf>
    <xf xfId="0" fontId="3" numFmtId="3" fillId="4" borderId="1" applyFont="1" applyNumberFormat="1" applyFill="1" applyBorder="1" applyAlignment="1">
      <alignment horizontal="left" vertical="bottom" textRotation="0" wrapText="false" shrinkToFit="false"/>
    </xf>
    <xf xfId="0" fontId="3" numFmtId="164" fillId="4" borderId="1" applyFont="1" applyNumberFormat="1" applyFill="1" applyBorder="1" applyAlignment="1">
      <alignment horizontal="left" vertical="bottom" textRotation="0" wrapText="false" shrinkToFit="false"/>
    </xf>
    <xf xfId="0" fontId="4" numFmtId="0" fillId="5" borderId="1" applyFont="1" applyNumberFormat="0" applyFill="1" applyBorder="1" applyAlignment="0"/>
    <xf xfId="0" fontId="4" numFmtId="3" fillId="5" borderId="1" applyFont="1" applyNumberFormat="1" applyFill="1" applyBorder="1" applyAlignment="0"/>
    <xf xfId="0" fontId="4" numFmtId="164" fillId="5" borderId="1" applyFont="1" applyNumberFormat="1" applyFill="1" applyBorder="1" applyAlignment="0"/>
    <xf xfId="0" fontId="3" numFmtId="0" fillId="6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3" fillId="6" borderId="1" applyFont="1" applyNumberFormat="1" applyFill="1" applyBorder="1" applyAlignment="1">
      <alignment horizontal="center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7"/>
  <sheetViews>
    <sheetView tabSelected="1" workbookViewId="0" showGridLines="true" showRowColHeaders="1">
      <selection activeCell="A17" sqref="A17:C17"/>
    </sheetView>
  </sheetViews>
  <sheetFormatPr defaultRowHeight="14.4" outlineLevelRow="0" outlineLevelCol="0"/>
  <cols>
    <col min="1" max="1" width="36.42" bestFit="true" customWidth="true" style="0"/>
    <col min="2" max="2" width="28.136" bestFit="true" customWidth="true" style="0"/>
    <col min="3" max="3" width="37.705" bestFit="true" customWidth="true" style="0"/>
  </cols>
  <sheetData>
    <row r="1" spans="1:3">
      <c r="A1" s="3" t="s">
        <v>0</v>
      </c>
      <c r="B1" s="1"/>
      <c r="C1" s="2"/>
    </row>
    <row r="2" spans="1:3">
      <c r="A2" t="s">
        <v>1</v>
      </c>
      <c r="B2" s="1">
        <v>2026</v>
      </c>
      <c r="C2" s="2"/>
    </row>
    <row r="3" spans="1:3">
      <c r="A3" t="s">
        <v>2</v>
      </c>
      <c r="B3" s="1" t="s">
        <v>3</v>
      </c>
      <c r="C3" s="2"/>
    </row>
    <row r="4" spans="1:3">
      <c r="A4" t="s">
        <v>4</v>
      </c>
      <c r="B4" s="1" t="s">
        <v>5</v>
      </c>
      <c r="C4" s="2"/>
    </row>
    <row r="5" spans="1:3">
      <c r="B5" s="1"/>
      <c r="C5" s="2"/>
    </row>
    <row r="6" spans="1:3">
      <c r="A6" s="4" t="s">
        <v>6</v>
      </c>
      <c r="B6" s="5"/>
      <c r="C6" s="6"/>
    </row>
    <row r="7" spans="1:3">
      <c r="A7" s="7" t="s">
        <v>7</v>
      </c>
      <c r="B7" s="9" t="s">
        <v>8</v>
      </c>
      <c r="C7" s="11" t="s">
        <v>9</v>
      </c>
    </row>
    <row r="8" spans="1:3">
      <c r="A8" s="8" t="s">
        <v>10</v>
      </c>
      <c r="B8" s="10">
        <v>5200000.0</v>
      </c>
      <c r="C8" s="12" t="s">
        <v>11</v>
      </c>
    </row>
    <row r="9" spans="1:3">
      <c r="A9" s="8" t="s">
        <v>12</v>
      </c>
      <c r="B9" s="10">
        <v>62000.0</v>
      </c>
      <c r="C9" s="12" t="s">
        <v>11</v>
      </c>
    </row>
    <row r="10" spans="1:3">
      <c r="A10" s="13" t="s">
        <v>13</v>
      </c>
      <c r="B10" s="14">
        <f>B8-B9</f>
      </c>
      <c r="C10" s="15" t="s">
        <v>14</v>
      </c>
    </row>
    <row r="11" spans="1:3">
      <c r="A11" s="13" t="s">
        <v>15</v>
      </c>
      <c r="B11" s="14">
        <v>5138000.0</v>
      </c>
      <c r="C11" s="15" t="s">
        <v>16</v>
      </c>
    </row>
    <row r="12" spans="1:3">
      <c r="B12" s="1"/>
      <c r="C12" s="2"/>
    </row>
    <row r="13" spans="1:3">
      <c r="A13" s="4" t="s">
        <v>17</v>
      </c>
      <c r="B13" s="5"/>
      <c r="C13" s="6"/>
    </row>
    <row r="14" spans="1:3">
      <c r="A14" s="16" t="s">
        <v>18</v>
      </c>
      <c r="B14" s="17" t="s">
        <v>19</v>
      </c>
      <c r="C14" s="18" t="s">
        <v>20</v>
      </c>
    </row>
    <row r="15" spans="1:3">
      <c r="A15" s="8" t="s">
        <v>21</v>
      </c>
      <c r="B15" s="10">
        <v>50000.0</v>
      </c>
      <c r="C15" s="12">
        <f>IF($B$9&gt;0, B15/$B$9, 0)</f>
      </c>
    </row>
    <row r="16" spans="1:3">
      <c r="A16" s="8" t="s">
        <v>22</v>
      </c>
      <c r="B16" s="10">
        <v>12000.0</v>
      </c>
      <c r="C16" s="12">
        <f>IF($B$9&gt;0, B16/$B$9, 0)</f>
      </c>
    </row>
    <row r="17" spans="1:3">
      <c r="A17" s="19" t="s">
        <v>23</v>
      </c>
      <c r="B17" s="20">
        <f>SUM(B15:B16)</f>
      </c>
      <c r="C17" s="21">
        <f>SUM(C15:C16)</f>
      </c>
    </row>
  </sheetData>
  <mergeCells>
    <mergeCell ref="A1:C1"/>
    <mergeCell ref="A6:C6"/>
    <mergeCell ref="A13:C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:G5"/>
    </sheetView>
  </sheetViews>
  <sheetFormatPr defaultRowHeight="14.4" outlineLevelRow="0" outlineLevelCol="0"/>
  <cols>
    <col min="1" max="1" width="5.713" bestFit="true" customWidth="true" style="0"/>
    <col min="2" max="2" width="22.28" bestFit="true" customWidth="true" style="0"/>
    <col min="3" max="3" width="16.282" bestFit="true" customWidth="true" style="0"/>
    <col min="4" max="4" width="24.708" bestFit="true" customWidth="true" style="0"/>
    <col min="5" max="5" width="15.139" bestFit="true" customWidth="true" style="0"/>
    <col min="6" max="6" width="17.567" bestFit="true" customWidth="true" style="0"/>
    <col min="7" max="7" width="24.565" bestFit="true" customWidth="true" style="0"/>
  </cols>
  <sheetData>
    <row r="1" spans="1:7">
      <c r="A1" s="22" t="s">
        <v>24</v>
      </c>
      <c r="B1" s="22" t="s">
        <v>25</v>
      </c>
      <c r="C1" s="22" t="s">
        <v>26</v>
      </c>
      <c r="D1" s="22" t="s">
        <v>18</v>
      </c>
      <c r="E1" s="22" t="s">
        <v>9</v>
      </c>
      <c r="F1" s="24" t="s">
        <v>8</v>
      </c>
      <c r="G1" s="24" t="s">
        <v>27</v>
      </c>
    </row>
    <row r="2" spans="1:7">
      <c r="A2" s="23">
        <v>1</v>
      </c>
      <c r="B2" s="23" t="s">
        <v>28</v>
      </c>
      <c r="C2" s="23" t="s">
        <v>29</v>
      </c>
      <c r="D2" s="8" t="s">
        <v>30</v>
      </c>
      <c r="E2" s="8"/>
      <c r="F2" s="25">
        <v>5000000.0</v>
      </c>
      <c r="G2" s="25">
        <v>5000000.0</v>
      </c>
    </row>
    <row r="3" spans="1:7">
      <c r="A3" s="23">
        <v>2</v>
      </c>
      <c r="B3" s="23" t="s">
        <v>28</v>
      </c>
      <c r="C3" s="23" t="s">
        <v>29</v>
      </c>
      <c r="D3" s="8" t="s">
        <v>30</v>
      </c>
      <c r="E3" s="8"/>
      <c r="F3" s="25">
        <v>200000.0</v>
      </c>
      <c r="G3" s="25">
        <v>5200000.0</v>
      </c>
    </row>
    <row r="4" spans="1:7">
      <c r="A4" s="23">
        <v>3</v>
      </c>
      <c r="B4" s="23" t="s">
        <v>28</v>
      </c>
      <c r="C4" s="23" t="s">
        <v>31</v>
      </c>
      <c r="D4" s="8" t="s">
        <v>22</v>
      </c>
      <c r="E4" s="8" t="s">
        <v>32</v>
      </c>
      <c r="F4" s="25">
        <v>12000.0</v>
      </c>
      <c r="G4" s="25">
        <v>5188000.0</v>
      </c>
    </row>
    <row r="5" spans="1:7">
      <c r="A5" s="23">
        <v>4</v>
      </c>
      <c r="B5" s="23" t="s">
        <v>33</v>
      </c>
      <c r="C5" s="23" t="s">
        <v>31</v>
      </c>
      <c r="D5" s="8" t="s">
        <v>21</v>
      </c>
      <c r="E5" s="8" t="s">
        <v>34</v>
      </c>
      <c r="F5" s="25">
        <v>50000.0</v>
      </c>
      <c r="G5" s="25">
        <v>5138000.0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Sep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2026-09-09T03:33:53+00:00</dcterms:created>
  <dcterms:modified xsi:type="dcterms:W3CDTF">2026-09-09T03:33:53+00:00</dcterms:modified>
  <dc:title>Untitled Spreadsheet</dc:title>
  <dc:description/>
  <dc:subject/>
  <cp:keywords/>
  <cp:category/>
</cp:coreProperties>
</file>